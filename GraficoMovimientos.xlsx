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<sst xmlns="http://schemas.openxmlformats.org/spreadsheetml/2006/main" count="194" uniqueCount="153">
  <si>
    <t>FECHA/HORA</t>
  </si>
  <si>
    <t>DESCRIPCION</t>
  </si>
  <si>
    <t>MOVIMIENTO</t>
  </si>
  <si>
    <t>SALDO</t>
  </si>
  <si>
    <t>FECHA</t>
  </si>
  <si>
    <t>FECHA/UNICA</t>
  </si>
  <si>
    <t>SALDO/UNICO</t>
  </si>
  <si>
    <t>2025-10-25T09:43:12.224310</t>
  </si>
  <si>
    <t>Ingreso de dinero</t>
  </si>
  <si>
    <t>120000.00</t>
  </si>
  <si>
    <t>2025-10-25T14:17:56.734218</t>
  </si>
  <si>
    <t>Pago de Luz</t>
  </si>
  <si>
    <t>-8500.00</t>
  </si>
  <si>
    <t>111500.00</t>
  </si>
  <si>
    <t>2025-10-26</t>
  </si>
  <si>
    <t>2025-10-26T10:25:09.882615</t>
  </si>
  <si>
    <t>Pago de Agua</t>
  </si>
  <si>
    <t>-2100.00</t>
  </si>
  <si>
    <t>109400.00</t>
  </si>
  <si>
    <t>2025-10-27</t>
  </si>
  <si>
    <t>2025-10-26T18:42:41.992530</t>
  </si>
  <si>
    <t>Transferencia a Carla</t>
  </si>
  <si>
    <t>-5000.00</t>
  </si>
  <si>
    <t>104400.00</t>
  </si>
  <si>
    <t>2025-10-28</t>
  </si>
  <si>
    <t>2025-10-27T09:10:05.314208</t>
  </si>
  <si>
    <t>25000.00</t>
  </si>
  <si>
    <t>129400.00</t>
  </si>
  <si>
    <t>2025-10-29</t>
  </si>
  <si>
    <t>2025-10-27T16:58:42.674552</t>
  </si>
  <si>
    <t>Pago de Gas</t>
  </si>
  <si>
    <t>-1900.00</t>
  </si>
  <si>
    <t>127500.00</t>
  </si>
  <si>
    <t>2025-10-30</t>
  </si>
  <si>
    <t>2025-10-28T11:13:25.937611</t>
  </si>
  <si>
    <t>Transferencia a Marcos</t>
  </si>
  <si>
    <t>-8000.00</t>
  </si>
  <si>
    <t>119500.00</t>
  </si>
  <si>
    <t>2025-10-31</t>
  </si>
  <si>
    <t>2025-10-28T18:34:54.229761</t>
  </si>
  <si>
    <t>Pago de Internet</t>
  </si>
  <si>
    <t>-6500.00</t>
  </si>
  <si>
    <t>113000.00</t>
  </si>
  <si>
    <t>2025-11-01</t>
  </si>
  <si>
    <t>2025-10-29T08:59:12.543927</t>
  </si>
  <si>
    <t>100000.00</t>
  </si>
  <si>
    <t>213000.00</t>
  </si>
  <si>
    <t>2025-11-02</t>
  </si>
  <si>
    <t>2025-10-29T13:28:46.667210</t>
  </si>
  <si>
    <t>-2500.00</t>
  </si>
  <si>
    <t>210500.00</t>
  </si>
  <si>
    <t>2025-11-03</t>
  </si>
  <si>
    <t>2025-10-30T10:12:18.853721</t>
  </si>
  <si>
    <t>Transferencia a Felipe</t>
  </si>
  <si>
    <t>-30000.00</t>
  </si>
  <si>
    <t>180500.00</t>
  </si>
  <si>
    <t>2025-11-04</t>
  </si>
  <si>
    <t>2025-10-30T17:47:39.921674</t>
  </si>
  <si>
    <t>-1800.00</t>
  </si>
  <si>
    <t>178700.00</t>
  </si>
  <si>
    <t>2025-11-05</t>
  </si>
  <si>
    <t>2025-10-31T09:35:27.444216</t>
  </si>
  <si>
    <t>150000.00</t>
  </si>
  <si>
    <t>328700.00</t>
  </si>
  <si>
    <t>2025-11-06</t>
  </si>
  <si>
    <t>2025-10-31T19:50:44.339557</t>
  </si>
  <si>
    <t>-12000.00</t>
  </si>
  <si>
    <t>316700.00</t>
  </si>
  <si>
    <t>2025-11-07</t>
  </si>
  <si>
    <t>2025-11-01T09:08:12.212678</t>
  </si>
  <si>
    <t>Transferencia a Sergio</t>
  </si>
  <si>
    <t>-25000.00</t>
  </si>
  <si>
    <t>291700.00</t>
  </si>
  <si>
    <t>2025-11-08</t>
  </si>
  <si>
    <t>2025-11-01T12:33:49.891320</t>
  </si>
  <si>
    <t>70000.00</t>
  </si>
  <si>
    <t>361700.00</t>
  </si>
  <si>
    <t>2025-11-09</t>
  </si>
  <si>
    <t>2025-11-01T18:59:10.513256</t>
  </si>
  <si>
    <t>359200.00</t>
  </si>
  <si>
    <t>2025-11-02T09:47:58.128370</t>
  </si>
  <si>
    <t>200000.00</t>
  </si>
  <si>
    <t>559200.00</t>
  </si>
  <si>
    <t>2025-11-02T09:48:19.720317</t>
  </si>
  <si>
    <t>Transferencia a Damian</t>
  </si>
  <si>
    <t>-20000.00</t>
  </si>
  <si>
    <t>539200.00</t>
  </si>
  <si>
    <t>2025-11-02T09:48:34.447573</t>
  </si>
  <si>
    <t>-1934.00</t>
  </si>
  <si>
    <t>537266.00</t>
  </si>
  <si>
    <t>2025-11-02T09:48:59.792478</t>
  </si>
  <si>
    <t>517266.00</t>
  </si>
  <si>
    <t>2025-11-02T09:49:17.720224</t>
  </si>
  <si>
    <t>-3000.00</t>
  </si>
  <si>
    <t>514266.00</t>
  </si>
  <si>
    <t>2025-11-02T09:49:42.312283</t>
  </si>
  <si>
    <t>-200.00</t>
  </si>
  <si>
    <t>514066.00</t>
  </si>
  <si>
    <t>2025-11-02T09:49:50.191576</t>
  </si>
  <si>
    <t>614066.00</t>
  </si>
  <si>
    <t>2025-11-02T09:50:03.776136</t>
  </si>
  <si>
    <t>Transferencia a Santiago</t>
  </si>
  <si>
    <t>-9000.00</t>
  </si>
  <si>
    <t>605066.00</t>
  </si>
  <si>
    <t>2025-11-02T09:50:22.096123</t>
  </si>
  <si>
    <t>300000.00</t>
  </si>
  <si>
    <t>905066.00</t>
  </si>
  <si>
    <t>2025-11-03T08:22:51.432180</t>
  </si>
  <si>
    <t>-15000.00</t>
  </si>
  <si>
    <t>890066.00</t>
  </si>
  <si>
    <t>2025-11-03T10:11:29.216380</t>
  </si>
  <si>
    <t>878066.00</t>
  </si>
  <si>
    <t>2025-11-03T15:58:05.612245</t>
  </si>
  <si>
    <t>45000.00</t>
  </si>
  <si>
    <t>923066.00</t>
  </si>
  <si>
    <t>2025-11-04T09:41:36.886509</t>
  </si>
  <si>
    <t>-7000.00</t>
  </si>
  <si>
    <t>916066.00</t>
  </si>
  <si>
    <t>2025-11-04T14:28:47.993201</t>
  </si>
  <si>
    <t>914266.00</t>
  </si>
  <si>
    <t>2025-11-05T10:33:29.117004</t>
  </si>
  <si>
    <t>60000.00</t>
  </si>
  <si>
    <t>974266.00</t>
  </si>
  <si>
    <t>2025-11-05T17:46:20.552782</t>
  </si>
  <si>
    <t>Transferencia a Antonella</t>
  </si>
  <si>
    <t>949266.00</t>
  </si>
  <si>
    <t>2025-11-06T08:55:33.720325</t>
  </si>
  <si>
    <t>-10000.00</t>
  </si>
  <si>
    <t>939266.00</t>
  </si>
  <si>
    <t>2025-11-06T11:49:58.138420</t>
  </si>
  <si>
    <t>-2300.00</t>
  </si>
  <si>
    <t>936966.00</t>
  </si>
  <si>
    <t>2025-11-07T09:12:17.913278</t>
  </si>
  <si>
    <t>80000.00</t>
  </si>
  <si>
    <t>1016966.00</t>
  </si>
  <si>
    <t>2025-11-07T13:55:21.441701</t>
  </si>
  <si>
    <t>1001966.00</t>
  </si>
  <si>
    <t>2025-11-07T19:34:00.114568</t>
  </si>
  <si>
    <t>-1600.00</t>
  </si>
  <si>
    <t>1000366.00</t>
  </si>
  <si>
    <t>2025-11-08T10:10:22.447250</t>
  </si>
  <si>
    <t>50000.00</t>
  </si>
  <si>
    <t>1050366.00</t>
  </si>
  <si>
    <t>2025-11-08T17:48:55.229654</t>
  </si>
  <si>
    <t>1043366.00</t>
  </si>
  <si>
    <t>2025-11-09T09:14:39.007134</t>
  </si>
  <si>
    <t>-12500.00</t>
  </si>
  <si>
    <t>1030866.00</t>
  </si>
  <si>
    <t>2025-11-09T11:42:21.774911</t>
  </si>
  <si>
    <t>40000.00</t>
  </si>
  <si>
    <t>1070866.00</t>
  </si>
  <si>
    <t>2025-11-09T18:22:53.552201</t>
  </si>
  <si>
    <t>1060866.00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</si>
</sst>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0</xdr:row>
      <xdr:rowOff>47625</xdr:rowOff>
    </xdr:from>
    <xdr:ext cx="7924800" cy="5753100"/>
    <xdr:pic>
      <xdr:nvPicPr>
        <xdr:cNvPr id="1984855702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G44" displayName="Tabla_1" name="Tabla_1" id="1">
  <tableColumns count="7">
    <tableColumn name="FECHA/HORA" id="1"/>
    <tableColumn name="DESCRIPCION" id="2"/>
    <tableColumn name="MOVIMIENTO" id="3"/>
    <tableColumn name="SALDO" id="4"/>
    <tableColumn name="FECHA" id="5"/>
    <tableColumn name="FECHA/UNICA" id="6"/>
    <tableColumn name="SALDO/UNICO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0"/>
    <col customWidth="1" min="2" max="2" width="25.38"/>
    <col customWidth="1" min="3" max="3" width="15.75"/>
    <col customWidth="1" min="4" max="4" width="15.0"/>
    <col customWidth="1" min="6" max="6" width="12.25"/>
    <col customWidth="1" min="7" max="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9</v>
      </c>
      <c r="E2" s="3" t="str">
        <f t="shared" ref="E2:E44" si="1">LEFT(A2,10)</f>
        <v>2025-10-25</v>
      </c>
      <c r="F2" s="3" t="str">
        <f t="array" ref="F2:F18">UNIQUE(E2:E1002)</f>
        <v>2025-10-25</v>
      </c>
      <c r="G2" s="3" t="str">
        <f t="shared" ref="G2:G44" si="2">XLOOKUP(F2, E2:E1002, D2:D1002, "", 0, -1)</f>
        <v>111500.00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3" t="str">
        <f t="shared" si="1"/>
        <v>2025-10-25</v>
      </c>
      <c r="F3" s="3" t="s">
        <v>14</v>
      </c>
      <c r="G3" s="3" t="str">
        <f t="shared" si="2"/>
        <v>104400.00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3" t="str">
        <f t="shared" si="1"/>
        <v>2025-10-26</v>
      </c>
      <c r="F4" s="3" t="s">
        <v>19</v>
      </c>
      <c r="G4" s="3" t="str">
        <f t="shared" si="2"/>
        <v>127500.00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3" t="str">
        <f t="shared" si="1"/>
        <v>2025-10-26</v>
      </c>
      <c r="F5" s="3" t="s">
        <v>24</v>
      </c>
      <c r="G5" s="3" t="str">
        <f t="shared" si="2"/>
        <v>113000.00</v>
      </c>
    </row>
    <row r="6">
      <c r="A6" s="2" t="s">
        <v>25</v>
      </c>
      <c r="B6" s="2" t="s">
        <v>8</v>
      </c>
      <c r="C6" s="2" t="s">
        <v>26</v>
      </c>
      <c r="D6" s="2" t="s">
        <v>27</v>
      </c>
      <c r="E6" s="3" t="str">
        <f t="shared" si="1"/>
        <v>2025-10-27</v>
      </c>
      <c r="F6" s="3" t="s">
        <v>28</v>
      </c>
      <c r="G6" s="3" t="str">
        <f t="shared" si="2"/>
        <v>210500.00</v>
      </c>
    </row>
    <row r="7">
      <c r="A7" s="2" t="s">
        <v>29</v>
      </c>
      <c r="B7" s="2" t="s">
        <v>30</v>
      </c>
      <c r="C7" s="2" t="s">
        <v>31</v>
      </c>
      <c r="D7" s="2" t="s">
        <v>32</v>
      </c>
      <c r="E7" s="3" t="str">
        <f t="shared" si="1"/>
        <v>2025-10-27</v>
      </c>
      <c r="F7" s="3" t="s">
        <v>33</v>
      </c>
      <c r="G7" s="3" t="str">
        <f t="shared" si="2"/>
        <v>178700.00</v>
      </c>
    </row>
    <row r="8">
      <c r="A8" s="2" t="s">
        <v>34</v>
      </c>
      <c r="B8" s="2" t="s">
        <v>35</v>
      </c>
      <c r="C8" s="2" t="s">
        <v>36</v>
      </c>
      <c r="D8" s="2" t="s">
        <v>37</v>
      </c>
      <c r="E8" s="3" t="str">
        <f t="shared" si="1"/>
        <v>2025-10-28</v>
      </c>
      <c r="F8" s="3" t="s">
        <v>38</v>
      </c>
      <c r="G8" s="3" t="str">
        <f t="shared" si="2"/>
        <v>316700.00</v>
      </c>
    </row>
    <row r="9">
      <c r="A9" s="2" t="s">
        <v>39</v>
      </c>
      <c r="B9" s="2" t="s">
        <v>40</v>
      </c>
      <c r="C9" s="2" t="s">
        <v>41</v>
      </c>
      <c r="D9" s="2" t="s">
        <v>42</v>
      </c>
      <c r="E9" s="3" t="str">
        <f t="shared" si="1"/>
        <v>2025-10-28</v>
      </c>
      <c r="F9" s="3" t="s">
        <v>43</v>
      </c>
      <c r="G9" s="3" t="str">
        <f t="shared" si="2"/>
        <v>359200.00</v>
      </c>
    </row>
    <row r="10">
      <c r="A10" s="2" t="s">
        <v>44</v>
      </c>
      <c r="B10" s="2" t="s">
        <v>8</v>
      </c>
      <c r="C10" s="2" t="s">
        <v>45</v>
      </c>
      <c r="D10" s="2" t="s">
        <v>46</v>
      </c>
      <c r="E10" s="3" t="str">
        <f t="shared" si="1"/>
        <v>2025-10-29</v>
      </c>
      <c r="F10" s="3" t="s">
        <v>47</v>
      </c>
      <c r="G10" s="3" t="str">
        <f t="shared" si="2"/>
        <v>905066.00</v>
      </c>
    </row>
    <row r="11">
      <c r="A11" s="2" t="s">
        <v>48</v>
      </c>
      <c r="B11" s="2" t="s">
        <v>16</v>
      </c>
      <c r="C11" s="2" t="s">
        <v>49</v>
      </c>
      <c r="D11" s="2" t="s">
        <v>50</v>
      </c>
      <c r="E11" s="3" t="str">
        <f t="shared" si="1"/>
        <v>2025-10-29</v>
      </c>
      <c r="F11" s="3" t="s">
        <v>51</v>
      </c>
      <c r="G11" s="3" t="str">
        <f t="shared" si="2"/>
        <v>923066.00</v>
      </c>
    </row>
    <row r="12">
      <c r="A12" s="2" t="s">
        <v>52</v>
      </c>
      <c r="B12" s="2" t="s">
        <v>53</v>
      </c>
      <c r="C12" s="2" t="s">
        <v>54</v>
      </c>
      <c r="D12" s="2" t="s">
        <v>55</v>
      </c>
      <c r="E12" s="3" t="str">
        <f t="shared" si="1"/>
        <v>2025-10-30</v>
      </c>
      <c r="F12" s="3" t="s">
        <v>56</v>
      </c>
      <c r="G12" s="3" t="str">
        <f t="shared" si="2"/>
        <v>914266.00</v>
      </c>
    </row>
    <row r="13">
      <c r="A13" s="2" t="s">
        <v>57</v>
      </c>
      <c r="B13" s="2" t="s">
        <v>30</v>
      </c>
      <c r="C13" s="2" t="s">
        <v>58</v>
      </c>
      <c r="D13" s="2" t="s">
        <v>59</v>
      </c>
      <c r="E13" s="3" t="str">
        <f t="shared" si="1"/>
        <v>2025-10-30</v>
      </c>
      <c r="F13" s="3" t="s">
        <v>60</v>
      </c>
      <c r="G13" s="3" t="str">
        <f t="shared" si="2"/>
        <v>949266.00</v>
      </c>
    </row>
    <row r="14">
      <c r="A14" s="2" t="s">
        <v>61</v>
      </c>
      <c r="B14" s="2" t="s">
        <v>8</v>
      </c>
      <c r="C14" s="2" t="s">
        <v>62</v>
      </c>
      <c r="D14" s="2" t="s">
        <v>63</v>
      </c>
      <c r="E14" s="3" t="str">
        <f t="shared" si="1"/>
        <v>2025-10-31</v>
      </c>
      <c r="F14" s="3" t="s">
        <v>64</v>
      </c>
      <c r="G14" s="3" t="str">
        <f t="shared" si="2"/>
        <v>936966.00</v>
      </c>
    </row>
    <row r="15">
      <c r="A15" s="2" t="s">
        <v>65</v>
      </c>
      <c r="B15" s="2" t="s">
        <v>11</v>
      </c>
      <c r="C15" s="2" t="s">
        <v>66</v>
      </c>
      <c r="D15" s="2" t="s">
        <v>67</v>
      </c>
      <c r="E15" s="3" t="str">
        <f t="shared" si="1"/>
        <v>2025-10-31</v>
      </c>
      <c r="F15" s="3" t="s">
        <v>68</v>
      </c>
      <c r="G15" s="3" t="str">
        <f t="shared" si="2"/>
        <v>1000366.00</v>
      </c>
    </row>
    <row r="16">
      <c r="A16" s="2" t="s">
        <v>69</v>
      </c>
      <c r="B16" s="2" t="s">
        <v>70</v>
      </c>
      <c r="C16" s="2" t="s">
        <v>71</v>
      </c>
      <c r="D16" s="2" t="s">
        <v>72</v>
      </c>
      <c r="E16" s="3" t="str">
        <f t="shared" si="1"/>
        <v>2025-11-01</v>
      </c>
      <c r="F16" s="3" t="s">
        <v>73</v>
      </c>
      <c r="G16" s="3" t="str">
        <f t="shared" si="2"/>
        <v>1043366.00</v>
      </c>
    </row>
    <row r="17">
      <c r="A17" s="2" t="s">
        <v>74</v>
      </c>
      <c r="B17" s="2" t="s">
        <v>8</v>
      </c>
      <c r="C17" s="2" t="s">
        <v>75</v>
      </c>
      <c r="D17" s="2" t="s">
        <v>76</v>
      </c>
      <c r="E17" s="3" t="str">
        <f t="shared" si="1"/>
        <v>2025-11-01</v>
      </c>
      <c r="F17" s="3" t="s">
        <v>77</v>
      </c>
      <c r="G17" s="3" t="str">
        <f t="shared" si="2"/>
        <v>1060866.00</v>
      </c>
    </row>
    <row r="18">
      <c r="A18" s="2" t="s">
        <v>78</v>
      </c>
      <c r="B18" s="2" t="s">
        <v>30</v>
      </c>
      <c r="C18" s="2" t="s">
        <v>49</v>
      </c>
      <c r="D18" s="2" t="s">
        <v>79</v>
      </c>
      <c r="E18" s="3" t="str">
        <f t="shared" si="1"/>
        <v>2025-11-01</v>
      </c>
      <c r="F18" s="3"/>
      <c r="G18" s="3" t="str">
        <f t="shared" si="2"/>
        <v/>
      </c>
    </row>
    <row r="19">
      <c r="A19" s="2" t="s">
        <v>80</v>
      </c>
      <c r="B19" s="2" t="s">
        <v>8</v>
      </c>
      <c r="C19" s="2" t="s">
        <v>81</v>
      </c>
      <c r="D19" s="2" t="s">
        <v>82</v>
      </c>
      <c r="E19" s="3" t="str">
        <f t="shared" si="1"/>
        <v>2025-11-02</v>
      </c>
      <c r="G19" s="3" t="str">
        <f t="shared" si="2"/>
        <v/>
      </c>
    </row>
    <row r="20">
      <c r="A20" s="2" t="s">
        <v>83</v>
      </c>
      <c r="B20" s="2" t="s">
        <v>84</v>
      </c>
      <c r="C20" s="2" t="s">
        <v>85</v>
      </c>
      <c r="D20" s="2" t="s">
        <v>86</v>
      </c>
      <c r="E20" s="3" t="str">
        <f t="shared" si="1"/>
        <v>2025-11-02</v>
      </c>
      <c r="G20" s="3" t="str">
        <f t="shared" si="2"/>
        <v/>
      </c>
    </row>
    <row r="21">
      <c r="A21" s="2" t="s">
        <v>87</v>
      </c>
      <c r="B21" s="2" t="s">
        <v>16</v>
      </c>
      <c r="C21" s="2" t="s">
        <v>88</v>
      </c>
      <c r="D21" s="2" t="s">
        <v>89</v>
      </c>
      <c r="E21" s="3" t="str">
        <f t="shared" si="1"/>
        <v>2025-11-02</v>
      </c>
      <c r="G21" s="3" t="str">
        <f t="shared" si="2"/>
        <v/>
      </c>
    </row>
    <row r="22">
      <c r="A22" s="2" t="s">
        <v>90</v>
      </c>
      <c r="B22" s="2" t="s">
        <v>11</v>
      </c>
      <c r="C22" s="2" t="s">
        <v>85</v>
      </c>
      <c r="D22" s="2" t="s">
        <v>91</v>
      </c>
      <c r="E22" s="3" t="str">
        <f t="shared" si="1"/>
        <v>2025-11-02</v>
      </c>
      <c r="G22" s="3" t="str">
        <f t="shared" si="2"/>
        <v/>
      </c>
    </row>
    <row r="23">
      <c r="A23" s="2" t="s">
        <v>92</v>
      </c>
      <c r="B23" s="2" t="s">
        <v>16</v>
      </c>
      <c r="C23" s="2" t="s">
        <v>93</v>
      </c>
      <c r="D23" s="2" t="s">
        <v>94</v>
      </c>
      <c r="E23" s="3" t="str">
        <f t="shared" si="1"/>
        <v>2025-11-02</v>
      </c>
      <c r="G23" s="3" t="str">
        <f t="shared" si="2"/>
        <v/>
      </c>
    </row>
    <row r="24">
      <c r="A24" s="2" t="s">
        <v>95</v>
      </c>
      <c r="B24" s="2" t="s">
        <v>30</v>
      </c>
      <c r="C24" s="2" t="s">
        <v>96</v>
      </c>
      <c r="D24" s="2" t="s">
        <v>97</v>
      </c>
      <c r="E24" s="3" t="str">
        <f t="shared" si="1"/>
        <v>2025-11-02</v>
      </c>
      <c r="G24" s="3" t="str">
        <f t="shared" si="2"/>
        <v/>
      </c>
    </row>
    <row r="25">
      <c r="A25" s="2" t="s">
        <v>98</v>
      </c>
      <c r="B25" s="2" t="s">
        <v>8</v>
      </c>
      <c r="C25" s="2" t="s">
        <v>45</v>
      </c>
      <c r="D25" s="2" t="s">
        <v>99</v>
      </c>
      <c r="E25" s="3" t="str">
        <f t="shared" si="1"/>
        <v>2025-11-02</v>
      </c>
      <c r="G25" s="3" t="str">
        <f t="shared" si="2"/>
        <v/>
      </c>
    </row>
    <row r="26">
      <c r="A26" s="2" t="s">
        <v>100</v>
      </c>
      <c r="B26" s="2" t="s">
        <v>101</v>
      </c>
      <c r="C26" s="2" t="s">
        <v>102</v>
      </c>
      <c r="D26" s="2" t="s">
        <v>103</v>
      </c>
      <c r="E26" s="3" t="str">
        <f t="shared" si="1"/>
        <v>2025-11-02</v>
      </c>
      <c r="G26" s="3" t="str">
        <f t="shared" si="2"/>
        <v/>
      </c>
    </row>
    <row r="27">
      <c r="A27" s="2" t="s">
        <v>104</v>
      </c>
      <c r="B27" s="2" t="s">
        <v>8</v>
      </c>
      <c r="C27" s="2" t="s">
        <v>105</v>
      </c>
      <c r="D27" s="2" t="s">
        <v>106</v>
      </c>
      <c r="E27" s="3" t="str">
        <f t="shared" si="1"/>
        <v>2025-11-02</v>
      </c>
      <c r="G27" s="3" t="str">
        <f t="shared" si="2"/>
        <v/>
      </c>
    </row>
    <row r="28">
      <c r="A28" s="2" t="s">
        <v>107</v>
      </c>
      <c r="B28" s="2" t="s">
        <v>11</v>
      </c>
      <c r="C28" s="2" t="s">
        <v>108</v>
      </c>
      <c r="D28" s="2" t="s">
        <v>109</v>
      </c>
      <c r="E28" s="3" t="str">
        <f t="shared" si="1"/>
        <v>2025-11-03</v>
      </c>
      <c r="G28" s="3" t="str">
        <f t="shared" si="2"/>
        <v/>
      </c>
    </row>
    <row r="29">
      <c r="A29" s="2" t="s">
        <v>110</v>
      </c>
      <c r="B29" s="2" t="s">
        <v>21</v>
      </c>
      <c r="C29" s="2" t="s">
        <v>66</v>
      </c>
      <c r="D29" s="2" t="s">
        <v>111</v>
      </c>
      <c r="E29" s="3" t="str">
        <f t="shared" si="1"/>
        <v>2025-11-03</v>
      </c>
      <c r="G29" s="3" t="str">
        <f t="shared" si="2"/>
        <v/>
      </c>
    </row>
    <row r="30">
      <c r="A30" s="2" t="s">
        <v>112</v>
      </c>
      <c r="B30" s="2" t="s">
        <v>8</v>
      </c>
      <c r="C30" s="2" t="s">
        <v>113</v>
      </c>
      <c r="D30" s="2" t="s">
        <v>114</v>
      </c>
      <c r="E30" s="3" t="str">
        <f t="shared" si="1"/>
        <v>2025-11-03</v>
      </c>
      <c r="G30" s="3" t="str">
        <f t="shared" si="2"/>
        <v/>
      </c>
    </row>
    <row r="31">
      <c r="A31" s="2" t="s">
        <v>115</v>
      </c>
      <c r="B31" s="2" t="s">
        <v>40</v>
      </c>
      <c r="C31" s="2" t="s">
        <v>116</v>
      </c>
      <c r="D31" s="2" t="s">
        <v>117</v>
      </c>
      <c r="E31" s="3" t="str">
        <f t="shared" si="1"/>
        <v>2025-11-04</v>
      </c>
      <c r="G31" s="3" t="str">
        <f t="shared" si="2"/>
        <v/>
      </c>
    </row>
    <row r="32">
      <c r="A32" s="2" t="s">
        <v>118</v>
      </c>
      <c r="B32" s="2" t="s">
        <v>30</v>
      </c>
      <c r="C32" s="2" t="s">
        <v>58</v>
      </c>
      <c r="D32" s="2" t="s">
        <v>119</v>
      </c>
      <c r="E32" s="3" t="str">
        <f t="shared" si="1"/>
        <v>2025-11-04</v>
      </c>
      <c r="G32" s="3" t="str">
        <f t="shared" si="2"/>
        <v/>
      </c>
    </row>
    <row r="33">
      <c r="A33" s="2" t="s">
        <v>120</v>
      </c>
      <c r="B33" s="2" t="s">
        <v>8</v>
      </c>
      <c r="C33" s="2" t="s">
        <v>121</v>
      </c>
      <c r="D33" s="2" t="s">
        <v>122</v>
      </c>
      <c r="E33" s="3" t="str">
        <f t="shared" si="1"/>
        <v>2025-11-05</v>
      </c>
      <c r="G33" s="3" t="str">
        <f t="shared" si="2"/>
        <v/>
      </c>
    </row>
    <row r="34">
      <c r="A34" s="2" t="s">
        <v>123</v>
      </c>
      <c r="B34" s="2" t="s">
        <v>124</v>
      </c>
      <c r="C34" s="2" t="s">
        <v>71</v>
      </c>
      <c r="D34" s="2" t="s">
        <v>125</v>
      </c>
      <c r="E34" s="3" t="str">
        <f t="shared" si="1"/>
        <v>2025-11-05</v>
      </c>
      <c r="G34" s="3" t="str">
        <f t="shared" si="2"/>
        <v/>
      </c>
    </row>
    <row r="35">
      <c r="A35" s="2" t="s">
        <v>126</v>
      </c>
      <c r="B35" s="2" t="s">
        <v>11</v>
      </c>
      <c r="C35" s="2" t="s">
        <v>127</v>
      </c>
      <c r="D35" s="2" t="s">
        <v>128</v>
      </c>
      <c r="E35" s="3" t="str">
        <f t="shared" si="1"/>
        <v>2025-11-06</v>
      </c>
      <c r="G35" s="3" t="str">
        <f t="shared" si="2"/>
        <v/>
      </c>
    </row>
    <row r="36">
      <c r="A36" s="2" t="s">
        <v>129</v>
      </c>
      <c r="B36" s="2" t="s">
        <v>16</v>
      </c>
      <c r="C36" s="2" t="s">
        <v>130</v>
      </c>
      <c r="D36" s="2" t="s">
        <v>131</v>
      </c>
      <c r="E36" s="3" t="str">
        <f t="shared" si="1"/>
        <v>2025-11-06</v>
      </c>
      <c r="G36" s="3" t="str">
        <f t="shared" si="2"/>
        <v/>
      </c>
    </row>
    <row r="37">
      <c r="A37" s="2" t="s">
        <v>132</v>
      </c>
      <c r="B37" s="2" t="s">
        <v>8</v>
      </c>
      <c r="C37" s="2" t="s">
        <v>133</v>
      </c>
      <c r="D37" s="2" t="s">
        <v>134</v>
      </c>
      <c r="E37" s="3" t="str">
        <f t="shared" si="1"/>
        <v>2025-11-07</v>
      </c>
      <c r="G37" s="3" t="str">
        <f t="shared" si="2"/>
        <v/>
      </c>
    </row>
    <row r="38">
      <c r="A38" s="2" t="s">
        <v>135</v>
      </c>
      <c r="B38" s="2" t="s">
        <v>35</v>
      </c>
      <c r="C38" s="2" t="s">
        <v>108</v>
      </c>
      <c r="D38" s="2" t="s">
        <v>136</v>
      </c>
      <c r="E38" s="3" t="str">
        <f t="shared" si="1"/>
        <v>2025-11-07</v>
      </c>
      <c r="G38" s="3" t="str">
        <f t="shared" si="2"/>
        <v/>
      </c>
    </row>
    <row r="39">
      <c r="A39" s="2" t="s">
        <v>137</v>
      </c>
      <c r="B39" s="2" t="s">
        <v>30</v>
      </c>
      <c r="C39" s="2" t="s">
        <v>138</v>
      </c>
      <c r="D39" s="2" t="s">
        <v>139</v>
      </c>
      <c r="E39" s="3" t="str">
        <f t="shared" si="1"/>
        <v>2025-11-07</v>
      </c>
      <c r="G39" s="3" t="str">
        <f t="shared" si="2"/>
        <v/>
      </c>
    </row>
    <row r="40">
      <c r="A40" s="2" t="s">
        <v>140</v>
      </c>
      <c r="B40" s="2" t="s">
        <v>8</v>
      </c>
      <c r="C40" s="2" t="s">
        <v>141</v>
      </c>
      <c r="D40" s="2" t="s">
        <v>142</v>
      </c>
      <c r="E40" s="3" t="str">
        <f t="shared" si="1"/>
        <v>2025-11-08</v>
      </c>
      <c r="G40" s="3" t="str">
        <f t="shared" si="2"/>
        <v/>
      </c>
    </row>
    <row r="41">
      <c r="A41" s="2" t="s">
        <v>143</v>
      </c>
      <c r="B41" s="2" t="s">
        <v>30</v>
      </c>
      <c r="C41" s="2" t="s">
        <v>116</v>
      </c>
      <c r="D41" s="2" t="s">
        <v>144</v>
      </c>
      <c r="E41" s="3" t="str">
        <f t="shared" si="1"/>
        <v>2025-11-08</v>
      </c>
      <c r="G41" s="3" t="str">
        <f t="shared" si="2"/>
        <v/>
      </c>
    </row>
    <row r="42">
      <c r="A42" s="2" t="s">
        <v>145</v>
      </c>
      <c r="B42" s="2" t="s">
        <v>11</v>
      </c>
      <c r="C42" s="2" t="s">
        <v>146</v>
      </c>
      <c r="D42" s="2" t="s">
        <v>147</v>
      </c>
      <c r="E42" s="3" t="str">
        <f t="shared" si="1"/>
        <v>2025-11-09</v>
      </c>
      <c r="G42" s="3" t="str">
        <f t="shared" si="2"/>
        <v/>
      </c>
    </row>
    <row r="43">
      <c r="A43" s="2" t="s">
        <v>148</v>
      </c>
      <c r="B43" s="2" t="s">
        <v>8</v>
      </c>
      <c r="C43" s="2" t="s">
        <v>149</v>
      </c>
      <c r="D43" s="2" t="s">
        <v>150</v>
      </c>
      <c r="E43" s="3" t="str">
        <f t="shared" si="1"/>
        <v>2025-11-09</v>
      </c>
      <c r="G43" s="3" t="str">
        <f t="shared" si="2"/>
        <v/>
      </c>
    </row>
    <row r="44">
      <c r="A44" s="2" t="s">
        <v>151</v>
      </c>
      <c r="B44" s="2" t="s">
        <v>70</v>
      </c>
      <c r="C44" s="2" t="s">
        <v>127</v>
      </c>
      <c r="D44" s="2" t="s">
        <v>152</v>
      </c>
      <c r="E44" s="3" t="str">
        <f t="shared" si="1"/>
        <v>2025-11-09</v>
      </c>
      <c r="G44" s="3" t="str">
        <f t="shared" si="2"/>
        <v/>
      </c>
    </row>
  </sheetData>
  <drawing r:id="rId1"/>
  <tableParts count="1">
    <tablePart r:id="rId3"/>
  </tableParts>
</worksheet>
</file>